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ssumptions" sheetId="2" state="visible" r:id="rId2"/>
    <sheet name="Enrollment &amp; Reach" sheetId="3" state="visible" r:id="rId3"/>
    <sheet name="Program Costs" sheetId="4" state="visible" r:id="rId4"/>
    <sheet name="Benefits &amp; Savings" sheetId="5" state="visible" r:id="rId5"/>
    <sheet name="ROI Summary" sheetId="6" state="visible" r:id="rId6"/>
    <sheet name="KPI Dashboard" sheetId="7" state="visible" r:id="rId7"/>
    <sheet name="Sensitivity" sheetId="8" state="visible" r:id="rId8"/>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quot;-&quot;"/>
    <numFmt numFmtId="167" formatCode="0.00%;(0.00%);&quot;-&quot;"/>
    <numFmt numFmtId="168" formatCode="0%;(0%);&quot;-&quot;"/>
  </numFmts>
  <fonts count="9">
    <font>
      <name val="Calibri"/>
      <family val="2"/>
      <color theme="1"/>
      <sz val="11"/>
      <scheme val="minor"/>
    </font>
    <font>
      <name val="Arial"/>
      <b val="1"/>
      <sz val="14"/>
    </font>
    <font>
      <name val="Arial"/>
      <b val="1"/>
    </font>
    <font>
      <name val="Arial"/>
      <color rgb="000000FF"/>
    </font>
    <font>
      <name val="Arial"/>
      <color rgb="00000000"/>
    </font>
    <font>
      <name val="Arial"/>
      <color rgb="00008000"/>
    </font>
    <font>
      <name val="Arial"/>
      <b val="1"/>
      <color rgb="00FFFFFF"/>
    </font>
    <font>
      <name val="Arial"/>
      <b val="1"/>
      <color rgb="00FFFFFF"/>
      <sz val="11"/>
    </font>
    <font>
      <name val="Arial"/>
      <i val="1"/>
      <color rgb="00595959"/>
      <sz val="9"/>
    </font>
  </fonts>
  <fills count="7">
    <fill>
      <patternFill/>
    </fill>
    <fill>
      <patternFill patternType="gray125"/>
    </fill>
    <fill>
      <patternFill patternType="solid">
        <fgColor rgb="00FFFFCC"/>
      </patternFill>
    </fill>
    <fill>
      <patternFill patternType="solid">
        <fgColor rgb="001F4E78"/>
      </patternFill>
    </fill>
    <fill>
      <patternFill patternType="solid">
        <fgColor rgb="002E75B6"/>
      </patternFill>
    </fill>
    <fill>
      <patternFill patternType="solid">
        <fgColor rgb="00F2F2F2"/>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2" borderId="0" pivotButton="0" quotePrefix="0" xfId="0"/>
    <xf numFmtId="0" fontId="6" fillId="3" borderId="1" applyAlignment="1" pivotButton="0" quotePrefix="0" xfId="0">
      <alignment horizontal="center" vertical="center" wrapText="1"/>
    </xf>
    <xf numFmtId="0" fontId="7" fillId="4" borderId="0" pivotButton="0" quotePrefix="0" xfId="0"/>
    <xf numFmtId="164" fontId="3" fillId="0" borderId="0" pivotButton="0" quotePrefix="0" xfId="0"/>
    <xf numFmtId="0" fontId="8" fillId="0" borderId="0" pivotButton="0" quotePrefix="0" xfId="0"/>
    <xf numFmtId="165" fontId="3" fillId="0" borderId="0" pivotButton="0" quotePrefix="0" xfId="0"/>
    <xf numFmtId="164" fontId="4" fillId="0" borderId="0" pivotButton="0" quotePrefix="0" xfId="0"/>
    <xf numFmtId="166" fontId="3" fillId="0" borderId="0" pivotButton="0" quotePrefix="0" xfId="0"/>
    <xf numFmtId="165" fontId="4" fillId="0" borderId="0" pivotButton="0" quotePrefix="0" xfId="0"/>
    <xf numFmtId="2" fontId="3" fillId="0" borderId="0" pivotButton="0" quotePrefix="0" xfId="0"/>
    <xf numFmtId="164" fontId="5" fillId="0" borderId="0" pivotButton="0" quotePrefix="0" xfId="0"/>
    <xf numFmtId="165" fontId="5" fillId="0" borderId="0" pivotButton="0" quotePrefix="0" xfId="0"/>
    <xf numFmtId="167" fontId="4" fillId="0" borderId="0" pivotButton="0" quotePrefix="0" xfId="0"/>
    <xf numFmtId="0" fontId="8" fillId="0" borderId="0" applyAlignment="1" pivotButton="0" quotePrefix="0" xfId="0">
      <alignment wrapText="1"/>
    </xf>
    <xf numFmtId="166" fontId="5" fillId="0" borderId="0" pivotButton="0" quotePrefix="0" xfId="0"/>
    <xf numFmtId="166" fontId="2" fillId="0" borderId="0" pivotButton="0" quotePrefix="0" xfId="0"/>
    <xf numFmtId="166" fontId="2" fillId="5" borderId="0" pivotButton="0" quotePrefix="0" xfId="0"/>
    <xf numFmtId="166" fontId="4" fillId="0" borderId="0" pivotButton="0" quotePrefix="0" xfId="0"/>
    <xf numFmtId="165" fontId="0" fillId="0" borderId="0" pivotButton="0" quotePrefix="0" xfId="0"/>
    <xf numFmtId="165" fontId="0" fillId="2" borderId="0" pivotButton="0" quotePrefix="0" xfId="0"/>
    <xf numFmtId="0" fontId="2" fillId="5" borderId="0" pivotButton="0" quotePrefix="0" xfId="0"/>
    <xf numFmtId="168" fontId="2" fillId="5" borderId="0" pivotButton="0" quotePrefix="0" xfId="0"/>
    <xf numFmtId="165" fontId="4" fillId="6" borderId="0" pivotButton="0" quotePrefix="0" xfId="0"/>
    <xf numFmtId="167" fontId="5" fillId="0" borderId="0" pivotButton="0" quotePrefix="0" xfId="0"/>
    <xf numFmtId="168" fontId="3" fillId="0" borderId="0" pivotButton="0" quotePrefix="0" xfId="0"/>
    <xf numFmtId="168"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RoadRisk model</author>
  </authors>
  <commentList>
    <comment ref="B4" authorId="0" shapeId="0">
      <text>
        <t>Sum of 2020 Census population across the 10 scale-tier counties in data/processed/pilot_shortlist_scale_tier.csv (Monroe, Fayette, Dauphin, York, Mercer, Lebanon, Franklin, Lackawanna, Lehigh, Lycoming).</t>
      </text>
    </comment>
    <comment ref="B5" authorId="0" shapeId="0">
      <text>
        <t>Program-design estimate consistent with published FHWA Highway Statistics ratios of licensed drivers to total population (typically 72-78% nationally).</t>
      </text>
    </comment>
    <comment ref="B6" authorId="0" shapeId="0">
      <text>
        <t>Assumption: a single mid-size regional carrier partner. Modeled explicitly because it is the main lever limiting how much a single-carrier pilot can move a county-wide KPI — see the Sensitivity tab.</t>
      </text>
    </comment>
    <comment ref="B10" authorId="0" shapeId="0">
      <text>
        <t>Matches the Year-1 enrollment KPI target in government_insurer_strategy.md.</t>
      </text>
    </comment>
    <comment ref="B11" authorId="0" shapeId="0">
      <text>
        <t>Program-design ramp assumption for the Year-2 expansion phase.</t>
      </text>
    </comment>
    <comment ref="B12" authorId="0" shapeId="0">
      <text>
        <t>Program-design ramp assumption.</t>
      </text>
    </comment>
    <comment ref="B13" authorId="0" shapeId="0">
      <text>
        <t>Matches the Year-1 retention KPI target in government_insurer_strategy.md.</t>
      </text>
    </comment>
    <comment ref="B16" authorId="0" shapeId="0">
      <text>
        <t>Program-design estimate (e.g., a DMV renewal fee credit or gift card), sized to the range shown to meaningfully lift opt-in in the market research brief.</t>
      </text>
    </comment>
    <comment ref="B17" authorId="0" shapeId="0">
      <text>
        <t>Program-design estimate: joint steering committee staff time, co-branded marketing through DOT/DMV channels, and third-party evaluation.</t>
      </text>
    </comment>
    <comment ref="B18" authorId="0" shapeId="0">
      <text>
        <t>Program-design assumption; revisit annually per the strategy doc's governance section.</t>
      </text>
    </comment>
    <comment ref="B20" authorId="0" shapeId="0">
      <text>
        <t>Program-design estimate for smartphone-based telematics SaaS at pilot scale; a dongle fallback in low-connectivity counties would add hardware cost not modeled here.</t>
      </text>
    </comment>
    <comment ref="B21" authorId="0" shapeId="0">
      <text>
        <t>Midpoint of the 10-20% target discount range in government_insurer_strategy.md.</t>
      </text>
    </comment>
    <comment ref="B22" authorId="0" shapeId="0">
      <text>
        <t>Program-design estimate in line with published average PA auto premium levels; replace with the insurer partner's actual book average once selected.</t>
      </text>
    </comment>
    <comment ref="B25" authorId="0" shapeId="0">
      <text>
        <t>From data/processed/county_risk_scores.csv (avg annual speeding-related crashes, 2018-2020, summed across the 10 scale-tier counties): 5,892.</t>
      </text>
    </comment>
    <comment ref="B26" authorId="0" shapeId="0">
      <text>
        <t>Conservative vs. published single-carrier UBI studies reporting 10-30% reductions in hard-braking/speeding events among enrollees; used here for the whole-crash-involvement effect, which is a stricter bar than an event-rate reduction.</t>
      </text>
    </comment>
    <comment ref="B27" authorId="0" shapeId="0">
      <text>
        <t>Program-design estimate: the state-borne subset of a comprehensive crash cost (excludes medical and lost-productivity costs, which fall on other parties), informed by the methodology in NHTSA's 'Economic and Societal Impact of Motor Vehicle Crashes.'</t>
      </text>
    </comment>
    <comment ref="B28" authorId="0" shapeId="0">
      <text>
        <t>Program-design estimate for a blended physical-damage + bodily-injury claim severity on a speeding-related loss; replace with the insurer partner's actual book severity.</t>
      </text>
    </comment>
    <comment ref="B29" authorId="0" shapeId="0">
      <text>
        <t>Typical U.S. private-passenger auto industry loss ratio range (~60-70%); the discount is underwritten against the whole book's loss ratio, not just speeding-related claims, which is why this is modeled separately from the per-crash avoided cost above.</t>
      </text>
    </comment>
    <comment ref="B30" authorId="0" shapeId="0">
      <text>
        <t>Program-design estimate toward the higher end of published telematics/UBI studies, which report mid-single-digit to ~15% relative loss-cost improvement for engaged/enrolled cohorts (safer drivers self-select to enroll, on top of any behavior change). Even at this favorable end of the range, the ROI Summary tab shows the insurer's discount cost is not fully offset within 3 years -- see the note there.</t>
      </text>
    </comment>
    <comment ref="B33" authorId="0" shapeId="0">
      <text>
        <t>Modeled, not directly metered: derived from the EPA MOVES relationship between reduced speed variance / harsh acceleration and fuel consumption. Treat as an estimate pending telematics-vendor validation once the pilot is live — see the KPI note on this tab and in government_insurer_strategy.md.</t>
      </text>
    </comment>
    <comment ref="B34" authorId="0" shapeId="0">
      <text>
        <t>2021 Interagency Working Group central estimate (2020$, 3% discount rate). Used only to size the emissions benefit for the public-value ROI view — not part of the state or insurer P&amp;L.</t>
      </text>
    </comment>
    <comment ref="B37" authorId="0" shapeId="0">
      <text>
        <t>Year-1 KPI target from government_insurer_strategy.md.</t>
      </text>
    </comment>
    <comment ref="B38" authorId="0" shapeId="0">
      <text>
        <t>Year-1 KPI target from government_insurer_strategy.md.</t>
      </text>
    </comment>
  </commentList>
</comments>
</file>

<file path=xl/comments/comment2.xml><?xml version="1.0" encoding="utf-8"?>
<comments xmlns="http://schemas.openxmlformats.org/spreadsheetml/2006/main">
  <authors>
    <author>RoadRisk model</author>
  </authors>
  <commentList>
    <comment ref="A19" authorId="0" shapeId="0">
      <text>
        <t>The 5% emissions KPI is a modeled, per-enrolled-driver reduction vs. each driver's own pre-enrollment baseline (see government_insurer_strategy.md) -- it is tracked directly on the KPI Dashboard tab from telematics data, not derived from this tab's population-wide CO2 tonnage, which instead sizes the public-value dollar estimate below.</t>
      </text>
    </comment>
  </commentList>
</comments>
</file>

<file path=xl/comments/comment3.xml><?xml version="1.0" encoding="utf-8"?>
<comments xmlns="http://schemas.openxmlformats.org/spreadsheetml/2006/main">
  <authors>
    <author>RoadRisk model</author>
  </authors>
  <commentList>
    <comment ref="C17" authorId="0" shapeId="0">
      <text>
        <t>Enter the actual year-over-year change in PennDOT-reported speeding-related crashes for the pilot counties vs. the matched control-county group (see government_insurer_strategy.md KPI table).</t>
      </text>
    </comment>
    <comment ref="C18" authorId="0" shapeId="0">
      <text>
        <t>Enter the actual modeled reduction reported by the telematics vendor (average enrolled-driver speed-variance/harsh-event reduction converted to estimated fuel/CO2 savings) -- this KPI is inherently modeled, not directly metered; see the caveat in the Assumptions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ht="20" customHeight="1">
      <c r="A1" s="1" t="inlineStr">
        <is>
          <t>RoadRisk: Government-Insurer Telematics Program — Financial &amp; KPI Tracking Model</t>
        </is>
      </c>
    </row>
    <row r="3" ht="30" customHeight="1">
      <c r="A3" s="2" t="inlineStr">
        <is>
          <t>Estimates and tracks the 3-year financial case for the pilot described in strategy/government_insurer_strategy.md, and gives the joint state/insurer steering committee a place to log real Year-1 KPI results against target.</t>
        </is>
      </c>
    </row>
    <row r="6">
      <c r="A6" s="3" t="inlineStr">
        <is>
          <t>Tabs in this workbook</t>
        </is>
      </c>
    </row>
    <row r="7" ht="28" customHeight="1">
      <c r="A7" s="2" t="inlineStr">
        <is>
          <t>Assumptions — Every input the model runs on. Edit the blue cells here — everything else recalculates. Each input cell has a comment naming its source.</t>
        </is>
      </c>
    </row>
    <row r="8" ht="28" customHeight="1">
      <c r="A8" s="2" t="inlineStr">
        <is>
          <t>Enrollment &amp; Reach — Converts the population assumption into an enrolled-driver count across 3 years.</t>
        </is>
      </c>
    </row>
    <row r="9" ht="28" customHeight="1">
      <c r="A9" s="2" t="inlineStr">
        <is>
          <t>Program Costs — State and insurer cost by year — incentives, admin share, and telematics platform licensing.</t>
        </is>
      </c>
    </row>
    <row r="10" ht="28" customHeight="1">
      <c r="A10" s="2" t="inlineStr">
        <is>
          <t>Benefits &amp; Savings — Modeled avoided crashes, avoided cost, insurer claims benefit, and a monetized emissions estimate.</t>
        </is>
      </c>
    </row>
    <row r="11" ht="28" customHeight="1">
      <c r="A11" s="2" t="inlineStr">
        <is>
          <t>ROI Summary — Net benefit, ROI %, and payback period, split State / Insurer / Combined.</t>
        </is>
      </c>
    </row>
    <row r="12" ht="28" customHeight="1">
      <c r="A12" s="2" t="inlineStr">
        <is>
          <t>KPI Dashboard — Quarterly Year-1 enrollment tracker plus annual outcome KPIs. Fill in the yellow Actual cells as real data arrives.</t>
        </is>
      </c>
    </row>
    <row r="13" ht="28" customHeight="1">
      <c r="A13" s="2" t="inlineStr">
        <is>
          <t>Sensitivity — What enrollment, per-enrollee effect, or insurer market share is needed to hit the 5% KPI — the base case alone does not reach it (see note on that tab).</t>
        </is>
      </c>
    </row>
    <row r="15">
      <c r="A15" s="3" t="inlineStr">
        <is>
          <t>Color legend</t>
        </is>
      </c>
    </row>
    <row r="16">
      <c r="A16" s="4" t="inlineStr">
        <is>
          <t>Blue text = hardcoded input / assumption you can change</t>
        </is>
      </c>
    </row>
    <row r="17">
      <c r="A17" s="5" t="inlineStr">
        <is>
          <t>Black text = formula calculated within the same sheet</t>
        </is>
      </c>
    </row>
    <row r="18">
      <c r="A18" s="6" t="inlineStr">
        <is>
          <t>Green text = formula that pulls a value from another sheet</t>
        </is>
      </c>
    </row>
    <row r="19">
      <c r="A19" s="7" t="inlineStr">
        <is>
          <t>Yellow fill = fill in as the program runs (actuals)</t>
        </is>
      </c>
    </row>
    <row r="21" ht="45" customHeight="1">
      <c r="A21" s="2" t="inlineStr">
        <is>
          <t>All dollar figures are nominal USD, undiscounted, modeled at the program level (not a single household's premium). Every assumption cell carries a comment stating its source or that it is a program-design estimate. Underlying crash-data provenance is in data/SOURCES.md at the repo root.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52" customWidth="1" min="1" max="1"/>
    <col width="16" customWidth="1" min="2" max="2"/>
    <col width="12" customWidth="1" min="3" max="3"/>
    <col width="46" customWidth="1" min="4" max="4"/>
  </cols>
  <sheetData>
    <row r="1">
      <c r="A1" s="1" t="inlineStr">
        <is>
          <t>Assumptions</t>
        </is>
      </c>
    </row>
    <row r="2">
      <c r="A2" s="8" t="inlineStr">
        <is>
          <t>Assumption</t>
        </is>
      </c>
      <c r="B2" s="8" t="inlineStr">
        <is>
          <t>Value</t>
        </is>
      </c>
      <c r="C2" s="8" t="inlineStr">
        <is>
          <t>Unit</t>
        </is>
      </c>
      <c r="D2" s="8" t="inlineStr">
        <is>
          <t>Note</t>
        </is>
      </c>
    </row>
    <row r="3" ht="20" customHeight="1">
      <c r="A3" s="9" t="inlineStr">
        <is>
          <t>Population &amp; Enrollment Universe</t>
        </is>
      </c>
      <c r="B3" s="9" t="n"/>
      <c r="C3" s="9" t="n"/>
      <c r="D3" s="9" t="n"/>
    </row>
    <row r="4">
      <c r="A4" t="inlineStr">
        <is>
          <t>Scale-tier pilot population (2020 Census)</t>
        </is>
      </c>
      <c r="B4" s="10" t="n">
        <v>2175496</v>
      </c>
      <c r="C4" s="11" t="inlineStr">
        <is>
          <t>residents</t>
        </is>
      </c>
    </row>
    <row r="5">
      <c r="A5" t="inlineStr">
        <is>
          <t>Licensed drivers as % of population</t>
        </is>
      </c>
      <c r="B5" s="12" t="n">
        <v>0.75</v>
      </c>
      <c r="C5" s="11" t="inlineStr">
        <is>
          <t>%</t>
        </is>
      </c>
    </row>
    <row r="6">
      <c r="A6" t="inlineStr">
        <is>
          <t>Insurer partner's market share of licensed drivers in pilot counties</t>
        </is>
      </c>
      <c r="B6" s="12" t="n">
        <v>0.12</v>
      </c>
      <c r="C6" s="11" t="inlineStr">
        <is>
          <t>%</t>
        </is>
      </c>
    </row>
    <row r="7">
      <c r="A7" t="inlineStr">
        <is>
          <t>Eligible policyholder base (computed)</t>
        </is>
      </c>
      <c r="B7" s="13">
        <f>B4*B5*B6</f>
        <v/>
      </c>
      <c r="C7" s="11" t="inlineStr">
        <is>
          <t>policyholders</t>
        </is>
      </c>
    </row>
    <row r="9" ht="20" customHeight="1">
      <c r="A9" s="9" t="inlineStr">
        <is>
          <t>Enrollment Ramp &amp; Retention</t>
        </is>
      </c>
      <c r="B9" s="9" t="n"/>
      <c r="C9" s="9" t="n"/>
      <c r="D9" s="9" t="n"/>
    </row>
    <row r="10">
      <c r="A10" t="inlineStr">
        <is>
          <t>Year 1 enrollment (% of eligible policyholders)</t>
        </is>
      </c>
      <c r="B10" s="12" t="n">
        <v>0.12</v>
      </c>
      <c r="C10" s="11" t="inlineStr">
        <is>
          <t>%</t>
        </is>
      </c>
    </row>
    <row r="11">
      <c r="A11" t="inlineStr">
        <is>
          <t>Year 2 enrollment (% of eligible policyholders)</t>
        </is>
      </c>
      <c r="B11" s="12" t="n">
        <v>0.2</v>
      </c>
      <c r="C11" s="11" t="inlineStr">
        <is>
          <t>%</t>
        </is>
      </c>
    </row>
    <row r="12">
      <c r="A12" t="inlineStr">
        <is>
          <t>Year 3 enrollment (% of eligible policyholders)</t>
        </is>
      </c>
      <c r="B12" s="12" t="n">
        <v>0.28</v>
      </c>
      <c r="C12" s="11" t="inlineStr">
        <is>
          <t>%</t>
        </is>
      </c>
    </row>
    <row r="13">
      <c r="A13" t="inlineStr">
        <is>
          <t>Retention: enrollees still active at month 12</t>
        </is>
      </c>
      <c r="B13" s="12" t="n">
        <v>0.7</v>
      </c>
      <c r="C13" s="11" t="inlineStr">
        <is>
          <t>%</t>
        </is>
      </c>
    </row>
    <row r="15" ht="20" customHeight="1">
      <c r="A15" s="9" t="inlineStr">
        <is>
          <t>Cost Assumptions</t>
        </is>
      </c>
      <c r="B15" s="9" t="n"/>
      <c r="C15" s="9" t="n"/>
      <c r="D15" s="9" t="n"/>
    </row>
    <row r="16">
      <c r="A16" t="inlineStr">
        <is>
          <t>State one-time enrollment incentive (per new enrollee)</t>
        </is>
      </c>
      <c r="B16" s="14" t="n">
        <v>25</v>
      </c>
      <c r="C16" s="11" t="inlineStr">
        <is>
          <t>$</t>
        </is>
      </c>
    </row>
    <row r="17">
      <c r="A17" t="inlineStr">
        <is>
          <t>Total program admin &amp; marketing cost per year</t>
        </is>
      </c>
      <c r="B17" s="14" t="n">
        <v>500000</v>
      </c>
      <c r="C17" s="11" t="inlineStr">
        <is>
          <t>$/yr</t>
        </is>
      </c>
    </row>
    <row r="18">
      <c r="A18" t="inlineStr">
        <is>
          <t>State share of admin &amp; marketing cost</t>
        </is>
      </c>
      <c r="B18" s="12" t="n">
        <v>0.4</v>
      </c>
      <c r="C18" s="11" t="inlineStr">
        <is>
          <t>%</t>
        </is>
      </c>
    </row>
    <row r="19">
      <c r="A19" t="inlineStr">
        <is>
          <t>Insurer share of admin &amp; marketing cost (computed)</t>
        </is>
      </c>
      <c r="B19" s="15">
        <f>1-B18</f>
        <v/>
      </c>
    </row>
    <row r="20">
      <c r="A20" t="inlineStr">
        <is>
          <t>Telematics platform licensing cost, per enrolled driver/year</t>
        </is>
      </c>
      <c r="B20" s="14" t="n">
        <v>8</v>
      </c>
      <c r="C20" s="11" t="inlineStr">
        <is>
          <t>$/driver/yr</t>
        </is>
      </c>
    </row>
    <row r="21">
      <c r="A21" t="inlineStr">
        <is>
          <t>Insurer clean-driving premium discount</t>
        </is>
      </c>
      <c r="B21" s="12" t="n">
        <v>0.15</v>
      </c>
      <c r="C21" s="11" t="inlineStr">
        <is>
          <t>%</t>
        </is>
      </c>
    </row>
    <row r="22">
      <c r="A22" t="inlineStr">
        <is>
          <t>Average annual auto premium per policy, pilot region</t>
        </is>
      </c>
      <c r="B22" s="14" t="n">
        <v>1450</v>
      </c>
      <c r="C22" s="11" t="inlineStr">
        <is>
          <t>$/policy/yr</t>
        </is>
      </c>
    </row>
    <row r="24" ht="20" customHeight="1">
      <c r="A24" s="9" t="inlineStr">
        <is>
          <t>Safety Effect &amp; Avoided-Cost Assumptions</t>
        </is>
      </c>
      <c r="B24" s="9" t="n"/>
      <c r="C24" s="9" t="n"/>
      <c r="D24" s="9" t="n"/>
    </row>
    <row r="25">
      <c r="A25" t="inlineStr">
        <is>
          <t>Baseline speeding-related crashes/year, scale-tier counties</t>
        </is>
      </c>
      <c r="B25" s="10" t="n">
        <v>5892</v>
      </c>
      <c r="C25" s="11" t="inlineStr">
        <is>
          <t>crashes/yr</t>
        </is>
      </c>
    </row>
    <row r="26">
      <c r="A26" t="inlineStr">
        <is>
          <t>Per-enrollee reduction in speeding-related crash involvement</t>
        </is>
      </c>
      <c r="B26" s="12" t="n">
        <v>0.2</v>
      </c>
      <c r="C26" s="11" t="inlineStr">
        <is>
          <t>%</t>
        </is>
      </c>
    </row>
    <row r="27">
      <c r="A27" t="inlineStr">
        <is>
          <t>State cost avoided per prevented crash (emergency response + infrastructure)</t>
        </is>
      </c>
      <c r="B27" s="14" t="n">
        <v>9500</v>
      </c>
      <c r="C27" s="11" t="inlineStr">
        <is>
          <t>$/crash</t>
        </is>
      </c>
    </row>
    <row r="28">
      <c r="A28" t="inlineStr">
        <is>
          <t>Insurer average claim cost per speeding-related crash</t>
        </is>
      </c>
      <c r="B28" s="14" t="n">
        <v>12000</v>
      </c>
      <c r="C28" s="11" t="inlineStr">
        <is>
          <t>$/crash</t>
        </is>
      </c>
    </row>
    <row r="29">
      <c r="A29" t="inlineStr">
        <is>
          <t>Average loss ratio, enrolled book (claims cost / earned premium)</t>
        </is>
      </c>
      <c r="B29" s="12" t="n">
        <v>0.65</v>
      </c>
      <c r="C29" s="11" t="inlineStr">
        <is>
          <t>%</t>
        </is>
      </c>
    </row>
    <row r="30">
      <c r="A30" t="inlineStr">
        <is>
          <t>Loss-ratio improvement for enrolled cohort (behavior change + adverse selection)</t>
        </is>
      </c>
      <c r="B30" s="12" t="n">
        <v>0.12</v>
      </c>
      <c r="C30" s="11" t="inlineStr">
        <is>
          <t>%</t>
        </is>
      </c>
    </row>
    <row r="32" ht="20" customHeight="1">
      <c r="A32" s="9" t="inlineStr">
        <is>
          <t>Emissions Assumptions</t>
        </is>
      </c>
      <c r="B32" s="9" t="n"/>
      <c r="C32" s="9" t="n"/>
      <c r="D32" s="9" t="n"/>
    </row>
    <row r="33">
      <c r="A33" t="inlineStr">
        <is>
          <t>Modeled CO2 reduction per enrolled driver per year</t>
        </is>
      </c>
      <c r="B33" s="16" t="n">
        <v>0.12</v>
      </c>
      <c r="C33" s="11" t="inlineStr">
        <is>
          <t>metric tons</t>
        </is>
      </c>
    </row>
    <row r="34">
      <c r="A34" t="inlineStr">
        <is>
          <t>Social cost of carbon (for illustrative monetization only)</t>
        </is>
      </c>
      <c r="B34" s="14" t="n">
        <v>51</v>
      </c>
      <c r="C34" s="11" t="inlineStr">
        <is>
          <t>$/metric ton</t>
        </is>
      </c>
    </row>
    <row r="36" ht="20" customHeight="1">
      <c r="A36" s="9" t="inlineStr">
        <is>
          <t>KPI Targets (Year 1)</t>
        </is>
      </c>
      <c r="B36" s="9" t="n"/>
      <c r="C36" s="9" t="n"/>
      <c r="D36" s="9" t="n"/>
    </row>
    <row r="37">
      <c r="A37" t="inlineStr">
        <is>
          <t>Speeding-related crash reduction target (population level)</t>
        </is>
      </c>
      <c r="B37" s="12" t="n">
        <v>0.05</v>
      </c>
      <c r="C37" s="11" t="inlineStr">
        <is>
          <t>%</t>
        </is>
      </c>
    </row>
    <row r="38">
      <c r="A38" t="inlineStr">
        <is>
          <t>Emissions reduction target (modeled, enrolled drivers)</t>
        </is>
      </c>
      <c r="B38" s="12" t="n">
        <v>0.05</v>
      </c>
      <c r="C38" s="11" t="inlineStr">
        <is>
          <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40" customWidth="1" min="5" max="5"/>
  </cols>
  <sheetData>
    <row r="1">
      <c r="A1" s="1" t="inlineStr">
        <is>
          <t>Enrollment &amp; Reach</t>
        </is>
      </c>
    </row>
    <row r="3">
      <c r="A3" s="8" t="inlineStr"/>
      <c r="B3" s="8" t="inlineStr">
        <is>
          <t>Year 1</t>
        </is>
      </c>
      <c r="C3" s="8" t="inlineStr">
        <is>
          <t>Year 2</t>
        </is>
      </c>
      <c r="D3" s="8" t="inlineStr">
        <is>
          <t>Year 3</t>
        </is>
      </c>
    </row>
    <row r="4">
      <c r="A4" t="inlineStr">
        <is>
          <t>Eligible policyholder base</t>
        </is>
      </c>
      <c r="B4" s="17">
        <f>'Assumptions'!$B$7</f>
        <v/>
      </c>
      <c r="C4" s="17">
        <f>'Assumptions'!$B$7</f>
        <v/>
      </c>
      <c r="D4" s="17">
        <f>'Assumptions'!$B$7</f>
        <v/>
      </c>
    </row>
    <row r="5">
      <c r="A5" t="inlineStr">
        <is>
          <t>Enrollment rate (% of eligible)</t>
        </is>
      </c>
      <c r="B5" s="18">
        <f>'Assumptions'!$B$10</f>
        <v/>
      </c>
      <c r="C5" s="18">
        <f>'Assumptions'!$B$11</f>
        <v/>
      </c>
      <c r="D5" s="18">
        <f>'Assumptions'!$B$12</f>
        <v/>
      </c>
    </row>
    <row r="6">
      <c r="A6" t="inlineStr">
        <is>
          <t>Enrolled drivers (that year, cumulative)</t>
        </is>
      </c>
      <c r="B6" s="13">
        <f>B4*B5</f>
        <v/>
      </c>
      <c r="C6" s="13">
        <f>C4*C5</f>
        <v/>
      </c>
      <c r="D6" s="13">
        <f>D4*D5</f>
        <v/>
      </c>
    </row>
    <row r="7">
      <c r="A7" t="inlineStr">
        <is>
          <t>Retained from prior year's cohort (active at month 12)</t>
        </is>
      </c>
      <c r="B7" s="13" t="n">
        <v>0</v>
      </c>
      <c r="C7" s="13">
        <f>B6*'Assumptions'!$B$13</f>
        <v/>
      </c>
      <c r="D7" s="13">
        <f>C6*'Assumptions'!$B$13</f>
        <v/>
      </c>
    </row>
    <row r="8">
      <c r="A8" t="inlineStr">
        <is>
          <t>New enrollees this year (drives the one-time incentive cost)</t>
        </is>
      </c>
      <c r="B8" s="13">
        <f>B6</f>
        <v/>
      </c>
      <c r="C8" s="13">
        <f>MAX(0,C6-B7)</f>
        <v/>
      </c>
      <c r="D8" s="13">
        <f>MAX(0,D6-C7)</f>
        <v/>
      </c>
    </row>
    <row r="9">
      <c r="A9" t="inlineStr">
        <is>
          <t>Share of pilot-county licensed drivers reached (enrolled / total drivers)</t>
        </is>
      </c>
      <c r="B9" s="19">
        <f>B6/('Assumptions'!$B$4*'Assumptions'!$B$5)</f>
        <v/>
      </c>
      <c r="C9" s="19">
        <f>C6/('Assumptions'!$B$4*'Assumptions'!$B$5)</f>
        <v/>
      </c>
      <c r="D9" s="19">
        <f>D6/('Assumptions'!$B$4*'Assumptions'!$B$5)</f>
        <v/>
      </c>
    </row>
    <row r="11" ht="5" customHeight="1"/>
    <row r="12">
      <c r="A12" s="20" t="inlineStr">
        <is>
          <t>Enrolled drivers are modeled as that year's active cohort size, not a running total across years, to keep the cost/benefit math tied to who is actually active in a given 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40" customWidth="1" min="5" max="5"/>
  </cols>
  <sheetData>
    <row r="1">
      <c r="A1" s="1" t="inlineStr">
        <is>
          <t>Program Costs</t>
        </is>
      </c>
    </row>
    <row r="3">
      <c r="A3" s="8" t="inlineStr"/>
      <c r="B3" s="8" t="inlineStr">
        <is>
          <t>Year 1</t>
        </is>
      </c>
      <c r="C3" s="8" t="inlineStr">
        <is>
          <t>Year 2</t>
        </is>
      </c>
      <c r="D3" s="8" t="inlineStr">
        <is>
          <t>Year 3</t>
        </is>
      </c>
    </row>
    <row r="4" ht="20" customHeight="1">
      <c r="A4" s="9" t="inlineStr">
        <is>
          <t>State Costs</t>
        </is>
      </c>
      <c r="B4" s="9" t="n"/>
      <c r="C4" s="9" t="n"/>
      <c r="D4" s="9" t="n"/>
    </row>
    <row r="5">
      <c r="A5" t="inlineStr">
        <is>
          <t>One-time enrollment incentive</t>
        </is>
      </c>
      <c r="B5" s="21">
        <f>'Enrollment &amp; Reach'!$B$8*'Assumptions'!$B$16</f>
        <v/>
      </c>
      <c r="C5" s="21">
        <f>'Enrollment &amp; Reach'!$C$8*'Assumptions'!$B$16</f>
        <v/>
      </c>
      <c r="D5" s="21">
        <f>'Enrollment &amp; Reach'!$D$8*'Assumptions'!$B$16</f>
        <v/>
      </c>
    </row>
    <row r="6">
      <c r="A6" t="inlineStr">
        <is>
          <t>State share of admin &amp; marketing cost</t>
        </is>
      </c>
      <c r="B6" s="21">
        <f>'Assumptions'!$B$17*'Assumptions'!$B$18</f>
        <v/>
      </c>
      <c r="C6" s="21">
        <f>'Assumptions'!$B$17*'Assumptions'!$B$18</f>
        <v/>
      </c>
      <c r="D6" s="21">
        <f>'Assumptions'!$B$17*'Assumptions'!$B$18</f>
        <v/>
      </c>
    </row>
    <row r="7">
      <c r="A7" s="3" t="inlineStr">
        <is>
          <t>Total state cost</t>
        </is>
      </c>
      <c r="B7" s="22">
        <f>B5+B6</f>
        <v/>
      </c>
      <c r="C7" s="22">
        <f>C5+C6</f>
        <v/>
      </c>
      <c r="D7" s="22">
        <f>D5+D6</f>
        <v/>
      </c>
    </row>
    <row r="9" ht="20" customHeight="1">
      <c r="A9" s="9" t="inlineStr">
        <is>
          <t>Insurer Costs</t>
        </is>
      </c>
      <c r="B9" s="9" t="n"/>
      <c r="C9" s="9" t="n"/>
      <c r="D9" s="9" t="n"/>
    </row>
    <row r="10">
      <c r="A10" t="inlineStr">
        <is>
          <t>Premium discount paid to enrollees</t>
        </is>
      </c>
      <c r="B10" s="21">
        <f>'Enrollment &amp; Reach'!$B$6*'Assumptions'!$B$22*'Assumptions'!$B$21</f>
        <v/>
      </c>
      <c r="C10" s="21">
        <f>'Enrollment &amp; Reach'!$C$6*'Assumptions'!$B$22*'Assumptions'!$B$21</f>
        <v/>
      </c>
      <c r="D10" s="21">
        <f>'Enrollment &amp; Reach'!$D$6*'Assumptions'!$B$22*'Assumptions'!$B$21</f>
        <v/>
      </c>
    </row>
    <row r="11">
      <c r="A11" t="inlineStr">
        <is>
          <t>Telematics platform licensing</t>
        </is>
      </c>
      <c r="B11" s="21">
        <f>'Enrollment &amp; Reach'!$B$6*'Assumptions'!$B$20</f>
        <v/>
      </c>
      <c r="C11" s="21">
        <f>'Enrollment &amp; Reach'!$C$6*'Assumptions'!$B$20</f>
        <v/>
      </c>
      <c r="D11" s="21">
        <f>'Enrollment &amp; Reach'!$D$6*'Assumptions'!$B$20</f>
        <v/>
      </c>
    </row>
    <row r="12">
      <c r="A12" t="inlineStr">
        <is>
          <t>Insurer share of admin &amp; marketing cost</t>
        </is>
      </c>
      <c r="B12" s="21">
        <f>'Assumptions'!$B$17*'Assumptions'!$B$19</f>
        <v/>
      </c>
      <c r="C12" s="21">
        <f>'Assumptions'!$B$17*'Assumptions'!$B$19</f>
        <v/>
      </c>
      <c r="D12" s="21">
        <f>'Assumptions'!$B$17*'Assumptions'!$B$19</f>
        <v/>
      </c>
    </row>
    <row r="13">
      <c r="A13" s="3" t="inlineStr">
        <is>
          <t>Total insurer cost</t>
        </is>
      </c>
      <c r="B13" s="22">
        <f>B10+B11+B12</f>
        <v/>
      </c>
      <c r="C13" s="22">
        <f>C10+C11+C12</f>
        <v/>
      </c>
      <c r="D13" s="22">
        <f>D10+D11+D12</f>
        <v/>
      </c>
    </row>
    <row r="15">
      <c r="A15" s="3" t="inlineStr">
        <is>
          <t>Combined program cost</t>
        </is>
      </c>
      <c r="B15" s="23">
        <f>B7+B13</f>
        <v/>
      </c>
      <c r="C15" s="23">
        <f>C7+C13</f>
        <v/>
      </c>
      <c r="D15" s="23">
        <f>D7+D13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44" customWidth="1" min="5" max="5"/>
  </cols>
  <sheetData>
    <row r="1">
      <c r="A1" s="1" t="inlineStr">
        <is>
          <t>Benefits &amp; Savings</t>
        </is>
      </c>
    </row>
    <row r="3">
      <c r="A3" s="8" t="inlineStr"/>
      <c r="B3" s="8" t="inlineStr">
        <is>
          <t>Year 1</t>
        </is>
      </c>
      <c r="C3" s="8" t="inlineStr">
        <is>
          <t>Year 2</t>
        </is>
      </c>
      <c r="D3" s="8" t="inlineStr">
        <is>
          <t>Year 3</t>
        </is>
      </c>
    </row>
    <row r="4" ht="20" customHeight="1">
      <c r="A4" s="9" t="inlineStr">
        <is>
          <t>Crash Reduction (drives both state and insurer benefit)</t>
        </is>
      </c>
      <c r="B4" s="9" t="n"/>
      <c r="C4" s="9" t="n"/>
      <c r="D4" s="9" t="n"/>
    </row>
    <row r="5">
      <c r="A5" t="inlineStr">
        <is>
          <t>Baseline speeding-related crashes/year, scale-tier counties</t>
        </is>
      </c>
      <c r="B5" s="17">
        <f>'Assumptions'!$B$25</f>
        <v/>
      </c>
      <c r="C5" s="17">
        <f>'Assumptions'!$B$25</f>
        <v/>
      </c>
      <c r="D5" s="17">
        <f>'Assumptions'!$B$25</f>
        <v/>
      </c>
    </row>
    <row r="6">
      <c r="A6" t="inlineStr">
        <is>
          <t>Prevented crashes (enrolled drivers' share x per-enrollee effect)</t>
        </is>
      </c>
      <c r="B6" s="13">
        <f>B5*'Enrollment &amp; Reach'!$B$9*'Assumptions'!$B$26</f>
        <v/>
      </c>
      <c r="C6" s="13">
        <f>C5*'Enrollment &amp; Reach'!$C$9*'Assumptions'!$B$26</f>
        <v/>
      </c>
      <c r="D6" s="13">
        <f>D5*'Enrollment &amp; Reach'!$D$9*'Assumptions'!$B$26</f>
        <v/>
      </c>
    </row>
    <row r="7">
      <c r="A7" t="inlineStr">
        <is>
          <t>Population-level speeding-crash reduction (modeled, vs. 5% KPI)</t>
        </is>
      </c>
      <c r="B7" s="19">
        <f>B6/B5</f>
        <v/>
      </c>
      <c r="C7" s="19">
        <f>C6/C5</f>
        <v/>
      </c>
      <c r="D7" s="19">
        <f>D6/D5</f>
        <v/>
      </c>
    </row>
    <row r="9" ht="20" customHeight="1">
      <c r="A9" s="9" t="inlineStr">
        <is>
          <t>State Benefit</t>
        </is>
      </c>
      <c r="B9" s="9" t="n"/>
      <c r="C9" s="9" t="n"/>
      <c r="D9" s="9" t="n"/>
    </row>
    <row r="10">
      <c r="A10" t="inlineStr">
        <is>
          <t>Avoided emergency-response &amp; infrastructure cost</t>
        </is>
      </c>
      <c r="B10" s="24">
        <f>B6*'Assumptions'!$B$27</f>
        <v/>
      </c>
      <c r="C10" s="24">
        <f>C6*'Assumptions'!$B$27</f>
        <v/>
      </c>
      <c r="D10" s="24">
        <f>D6*'Assumptions'!$B$27</f>
        <v/>
      </c>
    </row>
    <row r="12" ht="20" customHeight="1">
      <c r="A12" s="9" t="inlineStr">
        <is>
          <t>Insurer Benefit</t>
        </is>
      </c>
      <c r="B12" s="9" t="n"/>
      <c r="C12" s="9" t="n"/>
      <c r="D12" s="9" t="n"/>
    </row>
    <row r="13">
      <c r="A13" t="inlineStr">
        <is>
          <t>Avoided claims cost (speeding-related crashes prevented)</t>
        </is>
      </c>
      <c r="B13" s="24">
        <f>B6*'Assumptions'!$B$28</f>
        <v/>
      </c>
      <c r="C13" s="24">
        <f>C6*'Assumptions'!$B$28</f>
        <v/>
      </c>
      <c r="D13" s="24">
        <f>D6*'Assumptions'!$B$28</f>
        <v/>
      </c>
    </row>
    <row r="14">
      <c r="A14" t="inlineStr">
        <is>
          <t>Avoided claims cost (broader enrolled-book loss-ratio improvement)</t>
        </is>
      </c>
      <c r="B14" s="21">
        <f>'Enrollment &amp; Reach'!$B$6*'Assumptions'!$B$22*'Assumptions'!$B$29*'Assumptions'!$B$30</f>
        <v/>
      </c>
      <c r="C14" s="21">
        <f>'Enrollment &amp; Reach'!$C$6*'Assumptions'!$B$22*'Assumptions'!$B$29*'Assumptions'!$B$30</f>
        <v/>
      </c>
      <c r="D14" s="21">
        <f>'Enrollment &amp; Reach'!$D$6*'Assumptions'!$B$22*'Assumptions'!$B$29*'Assumptions'!$B$30</f>
        <v/>
      </c>
    </row>
    <row r="15">
      <c r="A15" s="3" t="inlineStr">
        <is>
          <t>Total insurer benefit</t>
        </is>
      </c>
      <c r="B15" s="22">
        <f>B13+B14</f>
        <v/>
      </c>
      <c r="C15" s="22">
        <f>C13+C14</f>
        <v/>
      </c>
      <c r="D15" s="22">
        <f>D13+D14</f>
        <v/>
      </c>
    </row>
    <row r="17" ht="20" customHeight="1">
      <c r="A17" s="9" t="inlineStr">
        <is>
          <t>Emissions (public-value estimate, not on either party's P&amp;L)</t>
        </is>
      </c>
      <c r="B17" s="9" t="n"/>
      <c r="C17" s="9" t="n"/>
      <c r="D17" s="9" t="n"/>
    </row>
    <row r="18">
      <c r="A18" t="inlineStr">
        <is>
          <t>Modeled CO2 reduction (metric tons)</t>
        </is>
      </c>
      <c r="B18" s="13">
        <f>'Enrollment &amp; Reach'!$B$6*'Assumptions'!$B$33</f>
        <v/>
      </c>
      <c r="C18" s="13">
        <f>'Enrollment &amp; Reach'!$C$6*'Assumptions'!$B$33</f>
        <v/>
      </c>
      <c r="D18" s="13">
        <f>'Enrollment &amp; Reach'!$D$6*'Assumptions'!$B$33</f>
        <v/>
      </c>
    </row>
    <row r="19">
      <c r="A19" s="5" t="inlineStr">
        <is>
          <t>Emissions reduction vs. 5% KPI target</t>
        </is>
      </c>
    </row>
    <row r="20">
      <c r="A20" t="inlineStr">
        <is>
          <t>Monetized emissions value (social cost of carbon)</t>
        </is>
      </c>
      <c r="B20" s="24">
        <f>B18*'Assumptions'!$B$34</f>
        <v/>
      </c>
      <c r="C20" s="24">
        <f>C18*'Assumptions'!$B$34</f>
        <v/>
      </c>
      <c r="D20" s="24">
        <f>D18*'Assumptions'!$B$34</f>
        <v/>
      </c>
    </row>
    <row r="22">
      <c r="A22" s="3" t="inlineStr">
        <is>
          <t>Combined benefit (state + insurer + emissions public value)</t>
        </is>
      </c>
      <c r="B22" s="23">
        <f>B10+B15+B20</f>
        <v/>
      </c>
      <c r="C22" s="23">
        <f>C10+C15+C20</f>
        <v/>
      </c>
      <c r="D22" s="23">
        <f>D10+D15+D20</f>
        <v/>
      </c>
    </row>
    <row r="24" ht="45" customHeight="1">
      <c r="A24" s="20" t="inlineStr">
        <is>
          <t>Note: at the 20% per-enrollee effect and 12% single-carrier market-share assumptions on the Assumptions tab, the modeled population-level reduction above is well under the 5% KPI target -- see the Sensitivity tab for what it would take to close that gap.</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40" customWidth="1" min="6" max="6"/>
  </cols>
  <sheetData>
    <row r="1">
      <c r="A1" s="1" t="inlineStr">
        <is>
          <t>ROI Summary</t>
        </is>
      </c>
    </row>
    <row r="3">
      <c r="A3" s="8" t="inlineStr"/>
      <c r="B3" s="8" t="inlineStr">
        <is>
          <t>Year 1</t>
        </is>
      </c>
      <c r="C3" s="8" t="inlineStr">
        <is>
          <t>Year 2</t>
        </is>
      </c>
      <c r="D3" s="8" t="inlineStr">
        <is>
          <t>Year 3</t>
        </is>
      </c>
      <c r="E3" s="8" t="inlineStr">
        <is>
          <t>3-Year Total</t>
        </is>
      </c>
    </row>
    <row r="4" ht="20" customHeight="1">
      <c r="A4" s="9" t="inlineStr">
        <is>
          <t>State</t>
        </is>
      </c>
      <c r="B4" s="9" t="n"/>
      <c r="C4" s="9" t="n"/>
      <c r="D4" s="9" t="n"/>
      <c r="E4" s="9" t="n"/>
    </row>
    <row r="5">
      <c r="A5" t="inlineStr">
        <is>
          <t>Cost</t>
        </is>
      </c>
      <c r="B5" s="21">
        <f>'Program Costs'!$B$7</f>
        <v/>
      </c>
      <c r="C5" s="21">
        <f>'Program Costs'!$C$7</f>
        <v/>
      </c>
      <c r="D5" s="21">
        <f>'Program Costs'!$D$7</f>
        <v/>
      </c>
      <c r="E5" s="22">
        <f>SUM(B5:D5)</f>
        <v/>
      </c>
    </row>
    <row r="6">
      <c r="A6" t="inlineStr">
        <is>
          <t>Benefit</t>
        </is>
      </c>
      <c r="B6" s="21">
        <f>'Benefits &amp; Savings'!$B$10</f>
        <v/>
      </c>
      <c r="C6" s="21">
        <f>'Benefits &amp; Savings'!$C$10</f>
        <v/>
      </c>
      <c r="D6" s="21">
        <f>'Benefits &amp; Savings'!$D$10</f>
        <v/>
      </c>
      <c r="E6" s="22">
        <f>SUM(B6:D6)</f>
        <v/>
      </c>
    </row>
    <row r="7">
      <c r="A7" s="3" t="inlineStr">
        <is>
          <t>Net benefit</t>
        </is>
      </c>
      <c r="B7" s="22">
        <f>B6-B5</f>
        <v/>
      </c>
      <c r="C7" s="22">
        <f>C6-C5</f>
        <v/>
      </c>
      <c r="D7" s="22">
        <f>D6-D5</f>
        <v/>
      </c>
      <c r="E7" s="22">
        <f>E6-E5</f>
        <v/>
      </c>
    </row>
    <row r="8">
      <c r="A8" t="inlineStr">
        <is>
          <t>ROI % (net benefit / cost)</t>
        </is>
      </c>
      <c r="B8" s="25">
        <f>IFERROR(B7/B5,0)</f>
        <v/>
      </c>
      <c r="C8" s="25">
        <f>IFERROR(C7/C5,0)</f>
        <v/>
      </c>
      <c r="D8" s="25">
        <f>IFERROR(D7/D5,0)</f>
        <v/>
      </c>
      <c r="E8" s="25">
        <f>IFERROR(E7/E5,0)</f>
        <v/>
      </c>
    </row>
    <row r="10" ht="20" customHeight="1">
      <c r="A10" s="9" t="inlineStr">
        <is>
          <t>Insurer</t>
        </is>
      </c>
      <c r="B10" s="9" t="n"/>
      <c r="C10" s="9" t="n"/>
      <c r="D10" s="9" t="n"/>
      <c r="E10" s="9" t="n"/>
    </row>
    <row r="11">
      <c r="A11" t="inlineStr">
        <is>
          <t>Cost</t>
        </is>
      </c>
      <c r="B11" s="21">
        <f>'Program Costs'!$B$13</f>
        <v/>
      </c>
      <c r="C11" s="21">
        <f>'Program Costs'!$C$13</f>
        <v/>
      </c>
      <c r="D11" s="21">
        <f>'Program Costs'!$D$13</f>
        <v/>
      </c>
      <c r="E11" s="22">
        <f>SUM(B11:D11)</f>
        <v/>
      </c>
    </row>
    <row r="12">
      <c r="A12" t="inlineStr">
        <is>
          <t>Benefit</t>
        </is>
      </c>
      <c r="B12" s="21">
        <f>'Benefits &amp; Savings'!$B$15</f>
        <v/>
      </c>
      <c r="C12" s="21">
        <f>'Benefits &amp; Savings'!$C$15</f>
        <v/>
      </c>
      <c r="D12" s="21">
        <f>'Benefits &amp; Savings'!$D$15</f>
        <v/>
      </c>
      <c r="E12" s="22">
        <f>SUM(B12:D12)</f>
        <v/>
      </c>
    </row>
    <row r="13">
      <c r="A13" s="3" t="inlineStr">
        <is>
          <t>Net benefit</t>
        </is>
      </c>
      <c r="B13" s="22">
        <f>B12-B11</f>
        <v/>
      </c>
      <c r="C13" s="22">
        <f>C12-C11</f>
        <v/>
      </c>
      <c r="D13" s="22">
        <f>D12-D11</f>
        <v/>
      </c>
      <c r="E13" s="22">
        <f>E12-E11</f>
        <v/>
      </c>
    </row>
    <row r="14">
      <c r="A14" t="inlineStr">
        <is>
          <t>ROI % (net benefit / cost)</t>
        </is>
      </c>
      <c r="B14" s="25">
        <f>IFERROR(B13/B11,0)</f>
        <v/>
      </c>
      <c r="C14" s="25">
        <f>IFERROR(C13/C11,0)</f>
        <v/>
      </c>
      <c r="D14" s="25">
        <f>IFERROR(D13/D11,0)</f>
        <v/>
      </c>
      <c r="E14" s="25">
        <f>IFERROR(E13/E11,0)</f>
        <v/>
      </c>
    </row>
    <row r="16" ht="20" customHeight="1">
      <c r="A16" s="9" t="inlineStr">
        <is>
          <t>Combined (incl. public-value emissions benefit)</t>
        </is>
      </c>
      <c r="B16" s="9" t="n"/>
      <c r="C16" s="9" t="n"/>
      <c r="D16" s="9" t="n"/>
      <c r="E16" s="9" t="n"/>
    </row>
    <row r="17">
      <c r="A17" t="inlineStr">
        <is>
          <t>Cost</t>
        </is>
      </c>
      <c r="B17" s="21">
        <f>'Program Costs'!$B$15</f>
        <v/>
      </c>
      <c r="C17" s="21">
        <f>'Program Costs'!$C$15</f>
        <v/>
      </c>
      <c r="D17" s="21">
        <f>'Program Costs'!$D$15</f>
        <v/>
      </c>
      <c r="E17" s="22">
        <f>SUM(B17:D17)</f>
        <v/>
      </c>
    </row>
    <row r="18">
      <c r="A18" t="inlineStr">
        <is>
          <t>Benefit</t>
        </is>
      </c>
      <c r="B18" s="21">
        <f>'Benefits &amp; Savings'!$B$22</f>
        <v/>
      </c>
      <c r="C18" s="21">
        <f>'Benefits &amp; Savings'!$C$22</f>
        <v/>
      </c>
      <c r="D18" s="21">
        <f>'Benefits &amp; Savings'!$D$22</f>
        <v/>
      </c>
      <c r="E18" s="22">
        <f>SUM(B18:D18)</f>
        <v/>
      </c>
    </row>
    <row r="19">
      <c r="A19" s="3" t="inlineStr">
        <is>
          <t>Net benefit</t>
        </is>
      </c>
      <c r="B19" s="22">
        <f>B18-B17</f>
        <v/>
      </c>
      <c r="C19" s="22">
        <f>C18-C17</f>
        <v/>
      </c>
      <c r="D19" s="22">
        <f>D18-D17</f>
        <v/>
      </c>
      <c r="E19" s="22">
        <f>E18-E17</f>
        <v/>
      </c>
    </row>
    <row r="20">
      <c r="A20" t="inlineStr">
        <is>
          <t>ROI % (net benefit / cost)</t>
        </is>
      </c>
      <c r="B20" s="25">
        <f>IFERROR(B19/B17,0)</f>
        <v/>
      </c>
      <c r="C20" s="25">
        <f>IFERROR(C19/C17,0)</f>
        <v/>
      </c>
      <c r="D20" s="25">
        <f>IFERROR(D19/D17,0)</f>
        <v/>
      </c>
      <c r="E20" s="25">
        <f>IFERROR(E19/E17,0)</f>
        <v/>
      </c>
    </row>
    <row r="22" ht="20" customHeight="1">
      <c r="A22" s="9" t="inlineStr">
        <is>
          <t>Payback</t>
        </is>
      </c>
      <c r="B22" s="9" t="n"/>
      <c r="C22" s="9" t="n"/>
      <c r="D22" s="9" t="n"/>
      <c r="E22" s="9" t="n"/>
    </row>
    <row r="23">
      <c r="A23" t="inlineStr">
        <is>
          <t>Cumulative combined net benefit</t>
        </is>
      </c>
      <c r="B23" s="24">
        <f>B19</f>
        <v/>
      </c>
      <c r="C23" s="24">
        <f>B23+C19</f>
        <v/>
      </c>
      <c r="D23" s="24">
        <f>C23+D19</f>
        <v/>
      </c>
    </row>
    <row r="24">
      <c r="A24" t="inlineStr">
        <is>
          <t>Payback status</t>
        </is>
      </c>
      <c r="B24">
        <f>_xlfn.IFS(B23&gt;=0,"Positive in Year 1",C23&gt;=0,"Positive in Year 2",D23&gt;=0,"Positive in Year 3",TRUE,"Not within 3 years")</f>
        <v/>
      </c>
    </row>
    <row r="26" ht="100" customHeight="1">
      <c r="A26" s="2" t="inlineStr">
        <is>
          <t>Reading this honestly: at base-case assumptions, the program does not pay back within 3 years for the insurer or in combined terms, because the premium discount is paid on the insurer's full enrolled book while the claims-cost benefit only accrues where behavior actually changes or better risks self-select in -- a well-documented tension in real UBI economics, not a modeling error. Three things would close the gap, individually or combined: (1) a lower or score-tiered discount instead of a flat 15% to every enrollee, (2) retained cohorts compounding the loss-ratio benefit over a longer, multi-cohort horizon than this 3-year window captures, and (3) counting the public value the state captures outside its own P&amp;L (avoided injuries and fatalities beyond the narrow emergency-response/infrastructure cost line) -- which is real value the state is funding for, even though it is not monetized in the Combined row above. See the Sensitivity tab for the separate question of what it takes to hit the 5% crash-reduction KPI itself.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s>
  <sheetData>
    <row r="1">
      <c r="A1" s="1" t="inlineStr">
        <is>
          <t>KPI Dashboard — Year 1</t>
        </is>
      </c>
    </row>
    <row r="2">
      <c r="A2" s="11" t="inlineStr">
        <is>
          <t>Fill in the yellow Actual cells as real program data arrives.</t>
        </is>
      </c>
    </row>
    <row r="4" ht="20" customHeight="1">
      <c r="A4" s="9" t="inlineStr">
        <is>
          <t>Enrollment Ramp (cumulative % of eligible policyholders)</t>
        </is>
      </c>
      <c r="B4" s="9" t="n"/>
      <c r="C4" s="9" t="n"/>
      <c r="D4" s="9" t="n"/>
      <c r="E4" s="9" t="n"/>
    </row>
    <row r="5">
      <c r="A5" s="8" t="inlineStr">
        <is>
          <t>Quarter</t>
        </is>
      </c>
      <c r="B5" s="8" t="inlineStr">
        <is>
          <t>Target</t>
        </is>
      </c>
      <c r="C5" s="8" t="inlineStr">
        <is>
          <t>Actual</t>
        </is>
      </c>
      <c r="D5" s="8" t="inlineStr">
        <is>
          <t>Variance</t>
        </is>
      </c>
      <c r="E5" s="8" t="inlineStr">
        <is>
          <t>Status</t>
        </is>
      </c>
    </row>
    <row r="6">
      <c r="A6" t="inlineStr">
        <is>
          <t>Q1</t>
        </is>
      </c>
      <c r="B6" s="18">
        <f>'Assumptions'!$B$10*0.25</f>
        <v/>
      </c>
      <c r="C6" s="26" t="n"/>
      <c r="D6" s="25">
        <f>IFERROR(C6-B6,"")</f>
        <v/>
      </c>
      <c r="E6">
        <f>IF(C6="","",IF(C6&gt;=B6,"On track","Below target"))</f>
        <v/>
      </c>
    </row>
    <row r="7">
      <c r="A7" t="inlineStr">
        <is>
          <t>Q2</t>
        </is>
      </c>
      <c r="B7" s="18">
        <f>'Assumptions'!$B$10*0.5</f>
        <v/>
      </c>
      <c r="C7" s="26" t="n"/>
      <c r="D7" s="25">
        <f>IFERROR(C7-B7,"")</f>
        <v/>
      </c>
      <c r="E7">
        <f>IF(C7="","",IF(C7&gt;=B7,"On track","Below target"))</f>
        <v/>
      </c>
    </row>
    <row r="8">
      <c r="A8" t="inlineStr">
        <is>
          <t>Q3</t>
        </is>
      </c>
      <c r="B8" s="18">
        <f>'Assumptions'!$B$10*0.75</f>
        <v/>
      </c>
      <c r="C8" s="26" t="n"/>
      <c r="D8" s="25">
        <f>IFERROR(C8-B8,"")</f>
        <v/>
      </c>
      <c r="E8">
        <f>IF(C8="","",IF(C8&gt;=B8,"On track","Below target"))</f>
        <v/>
      </c>
    </row>
    <row r="9">
      <c r="A9" t="inlineStr">
        <is>
          <t>Q4</t>
        </is>
      </c>
      <c r="B9" s="18">
        <f>'Assumptions'!$B$10*1.0</f>
        <v/>
      </c>
      <c r="C9" s="26" t="n"/>
      <c r="D9" s="25">
        <f>IFERROR(C9-B9,"")</f>
        <v/>
      </c>
      <c r="E9">
        <f>IF(C9="","",IF(C9&gt;=B9,"On track","Below target"))</f>
        <v/>
      </c>
    </row>
    <row r="11" ht="20" customHeight="1">
      <c r="A11" s="9" t="inlineStr">
        <is>
          <t>Retention (% of enrollees active, measured at month 12)</t>
        </is>
      </c>
      <c r="B11" s="9" t="n"/>
      <c r="C11" s="9" t="n"/>
      <c r="D11" s="9" t="n"/>
      <c r="E11" s="9" t="n"/>
    </row>
    <row r="12">
      <c r="A12" s="8" t="inlineStr"/>
      <c r="B12" s="8" t="inlineStr">
        <is>
          <t>Target</t>
        </is>
      </c>
      <c r="C12" s="8" t="inlineStr">
        <is>
          <t>Actual</t>
        </is>
      </c>
      <c r="D12" s="8" t="inlineStr">
        <is>
          <t>Variance</t>
        </is>
      </c>
      <c r="E12" s="8" t="inlineStr">
        <is>
          <t>Status</t>
        </is>
      </c>
    </row>
    <row r="13">
      <c r="A13" t="inlineStr">
        <is>
          <t>Year 1</t>
        </is>
      </c>
      <c r="B13" s="18">
        <f>'Assumptions'!$B$13</f>
        <v/>
      </c>
      <c r="C13" s="26" t="n"/>
      <c r="D13" s="25">
        <f>IFERROR(C13-B13,"")</f>
        <v/>
      </c>
      <c r="E13">
        <f>IF(C13="","",IF(C13&gt;=B13,"On track","Below target"))</f>
        <v/>
      </c>
    </row>
    <row r="15" ht="20" customHeight="1">
      <c r="A15" s="9" t="inlineStr">
        <is>
          <t>Annual Outcome KPIs (Year 1, population-level vs. prior year)</t>
        </is>
      </c>
      <c r="B15" s="9" t="n"/>
      <c r="C15" s="9" t="n"/>
      <c r="D15" s="9" t="n"/>
      <c r="E15" s="9" t="n"/>
    </row>
    <row r="16">
      <c r="A16" s="8" t="inlineStr">
        <is>
          <t>KPI</t>
        </is>
      </c>
      <c r="B16" s="8" t="inlineStr">
        <is>
          <t>Target</t>
        </is>
      </c>
      <c r="C16" s="8" t="inlineStr">
        <is>
          <t>Actual</t>
        </is>
      </c>
      <c r="D16" s="8" t="inlineStr">
        <is>
          <t>Variance</t>
        </is>
      </c>
      <c r="E16" s="8" t="inlineStr">
        <is>
          <t>Status</t>
        </is>
      </c>
    </row>
    <row r="17">
      <c r="A17" t="inlineStr">
        <is>
          <t>Speeding-related crash reduction</t>
        </is>
      </c>
      <c r="B17" s="18">
        <f>'Assumptions'!$B$37</f>
        <v/>
      </c>
      <c r="C17" s="26" t="n"/>
      <c r="D17" s="25">
        <f>IFERROR(C17-B17,"")</f>
        <v/>
      </c>
      <c r="E17">
        <f>IF(C17="","",IF(C17&gt;=B17,"On track","Below target"))</f>
        <v/>
      </c>
    </row>
    <row r="18">
      <c r="A18" t="inlineStr">
        <is>
          <t>Emissions reduction (modeled)</t>
        </is>
      </c>
      <c r="B18" s="18">
        <f>'Assumptions'!$B$38</f>
        <v/>
      </c>
      <c r="C18" s="26" t="n"/>
      <c r="D18" s="25">
        <f>IFERROR(C18-B18,"")</f>
        <v/>
      </c>
      <c r="E18">
        <f>IF(C18="","",IF(C18&gt;=B18,"On track","Below target"))</f>
        <v/>
      </c>
    </row>
    <row r="20" ht="40" customHeight="1">
      <c r="A20" s="2" t="inlineStr">
        <is>
          <t>Enrollment quarterly targets ramp linearly to the Year-1 enrollment assumption (25/50/75/100% of the annual target by quarter) as a planning baseline -- replace with the steering committee's actual enrollment-campaign schedule once set.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4" customWidth="1" min="7" max="7"/>
    <col width="60" customWidth="1" min="8" max="8"/>
  </cols>
  <sheetData>
    <row r="1">
      <c r="A1" s="1" t="inlineStr">
        <is>
          <t>Sensitivity — Closing the Gap to the 5% Population-Level KPI</t>
        </is>
      </c>
    </row>
    <row r="3" ht="100" customHeight="1">
      <c r="A3" s="2" t="inlineStr">
        <is>
          <t>At this workbook's base-case assumptions (12% single-carrier market share, 20% per-enrollee effect, Year-1 enrollment per the Assumptions tab), the modeled population-level speeding-crash reduction is well under the 5% target -- see the Year-1 figure below the grid. This is an intentional, honest gap: a single insurer's book cannot move a county-wide KPI on its own at realistic enrollment and effect sizes. The grid shows what combination of enrollment and per-enrollee effect gets there, holding market share fixed at its current 12% assumption; the note below it shows the alternative lever -- a larger, multi-carrier market share.</t>
        </is>
      </c>
    </row>
    <row r="6">
      <c r="A6" s="27" t="inlineStr">
        <is>
          <t>Enrollment ↓ / Per-enrollee effect →</t>
        </is>
      </c>
      <c r="B6" s="28" t="n">
        <v>0.15</v>
      </c>
      <c r="C6" s="28" t="n">
        <v>0.2</v>
      </c>
      <c r="D6" s="28" t="n">
        <v>0.25</v>
      </c>
      <c r="E6" s="28" t="n">
        <v>0.3</v>
      </c>
      <c r="F6" s="28" t="n">
        <v>0.35</v>
      </c>
    </row>
    <row r="7">
      <c r="A7" s="28" t="n">
        <v>0.1</v>
      </c>
      <c r="B7" s="15">
        <f>$A7*'Assumptions'!$B$5*'Assumptions'!$B$6*B$6</f>
        <v/>
      </c>
      <c r="C7" s="15">
        <f>$A7*'Assumptions'!$B$5*'Assumptions'!$B$6*C$6</f>
        <v/>
      </c>
      <c r="D7" s="15">
        <f>$A7*'Assumptions'!$B$5*'Assumptions'!$B$6*D$6</f>
        <v/>
      </c>
      <c r="E7" s="15">
        <f>$A7*'Assumptions'!$B$5*'Assumptions'!$B$6*E$6</f>
        <v/>
      </c>
      <c r="F7" s="15">
        <f>$A7*'Assumptions'!$B$5*'Assumptions'!$B$6*F$6</f>
        <v/>
      </c>
    </row>
    <row r="8">
      <c r="A8" s="28" t="n">
        <v>0.15</v>
      </c>
      <c r="B8" s="15">
        <f>$A8*'Assumptions'!$B$5*'Assumptions'!$B$6*B$6</f>
        <v/>
      </c>
      <c r="C8" s="15">
        <f>$A8*'Assumptions'!$B$5*'Assumptions'!$B$6*C$6</f>
        <v/>
      </c>
      <c r="D8" s="15">
        <f>$A8*'Assumptions'!$B$5*'Assumptions'!$B$6*D$6</f>
        <v/>
      </c>
      <c r="E8" s="15">
        <f>$A8*'Assumptions'!$B$5*'Assumptions'!$B$6*E$6</f>
        <v/>
      </c>
      <c r="F8" s="15">
        <f>$A8*'Assumptions'!$B$5*'Assumptions'!$B$6*F$6</f>
        <v/>
      </c>
    </row>
    <row r="9">
      <c r="A9" s="28" t="n">
        <v>0.2</v>
      </c>
      <c r="B9" s="15">
        <f>$A9*'Assumptions'!$B$5*'Assumptions'!$B$6*B$6</f>
        <v/>
      </c>
      <c r="C9" s="15">
        <f>$A9*'Assumptions'!$B$5*'Assumptions'!$B$6*C$6</f>
        <v/>
      </c>
      <c r="D9" s="29">
        <f>$A9*'Assumptions'!$B$5*'Assumptions'!$B$6*D$6</f>
        <v/>
      </c>
      <c r="E9" s="15">
        <f>$A9*'Assumptions'!$B$5*'Assumptions'!$B$6*E$6</f>
        <v/>
      </c>
      <c r="F9" s="15">
        <f>$A9*'Assumptions'!$B$5*'Assumptions'!$B$6*F$6</f>
        <v/>
      </c>
    </row>
    <row r="10">
      <c r="A10" s="28" t="n">
        <v>0.25</v>
      </c>
      <c r="B10" s="15">
        <f>$A10*'Assumptions'!$B$5*'Assumptions'!$B$6*B$6</f>
        <v/>
      </c>
      <c r="C10" s="15">
        <f>$A10*'Assumptions'!$B$5*'Assumptions'!$B$6*C$6</f>
        <v/>
      </c>
      <c r="D10" s="15">
        <f>$A10*'Assumptions'!$B$5*'Assumptions'!$B$6*D$6</f>
        <v/>
      </c>
      <c r="E10" s="15">
        <f>$A10*'Assumptions'!$B$5*'Assumptions'!$B$6*E$6</f>
        <v/>
      </c>
      <c r="F10" s="15">
        <f>$A10*'Assumptions'!$B$5*'Assumptions'!$B$6*F$6</f>
        <v/>
      </c>
    </row>
    <row r="11">
      <c r="A11" s="28" t="n">
        <v>0.3</v>
      </c>
      <c r="B11" s="15">
        <f>$A11*'Assumptions'!$B$5*'Assumptions'!$B$6*B$6</f>
        <v/>
      </c>
      <c r="C11" s="15">
        <f>$A11*'Assumptions'!$B$5*'Assumptions'!$B$6*C$6</f>
        <v/>
      </c>
      <c r="D11" s="15">
        <f>$A11*'Assumptions'!$B$5*'Assumptions'!$B$6*D$6</f>
        <v/>
      </c>
      <c r="E11" s="15">
        <f>$A11*'Assumptions'!$B$5*'Assumptions'!$B$6*E$6</f>
        <v/>
      </c>
      <c r="F11" s="15">
        <f>$A11*'Assumptions'!$B$5*'Assumptions'!$B$6*F$6</f>
        <v/>
      </c>
    </row>
    <row r="13">
      <c r="A13" s="3" t="inlineStr">
        <is>
          <t>Base-case Year 1 (from Enrollment &amp; Reach / Benefits &amp; Savings tabs)</t>
        </is>
      </c>
      <c r="B13" s="30">
        <f>'Benefits &amp; Savings'!$B$7</f>
        <v/>
      </c>
      <c r="C13" t="inlineStr">
        <is>
          <t>vs. KPI target</t>
        </is>
      </c>
      <c r="D13" s="18">
        <f>'Assumptions'!$B$37</f>
        <v/>
      </c>
    </row>
    <row r="15" ht="20" customHeight="1">
      <c r="A15" s="9" t="inlineStr">
        <is>
          <t>Alternative lever: combined market share needed (multi-carrier consortium)</t>
        </is>
      </c>
      <c r="B15" s="9" t="n"/>
      <c r="C15" s="9" t="n"/>
      <c r="D15" s="9" t="n"/>
      <c r="E15" s="9" t="n"/>
      <c r="F15" s="9" t="n"/>
    </row>
    <row r="16">
      <c r="A16" t="inlineStr">
        <is>
          <t>Assumed enrollment rate for this calc</t>
        </is>
      </c>
      <c r="B16" s="31" t="n">
        <v>0.2</v>
      </c>
    </row>
    <row r="17">
      <c r="A17" t="inlineStr">
        <is>
          <t>Assumed per-enrollee effect for this calc</t>
        </is>
      </c>
      <c r="B17" s="31" t="n">
        <v>0.25</v>
      </c>
    </row>
    <row r="18">
      <c r="A18" s="3" t="inlineStr">
        <is>
          <t>Combined market share required to hit the 5% KPI</t>
        </is>
      </c>
      <c r="B18" s="32">
        <f>IFERROR('Assumptions'!$B$37/('Assumptions'!$B$5*B16*B17),"n/a")</f>
        <v/>
      </c>
    </row>
    <row r="19" ht="45" customHeight="1">
      <c r="A19" s="2" t="inlineStr">
        <is>
          <t>At 20% enrollment and a 25% per-enrollee effect, hitting the 5% KPI needs roughly this share of pilot-county licensed drivers under a participating insurer -- i.e., recruiting a second or third carrier into the pilot in Year 2, per the phasing in government_insurer_strategy.md, rather than assuming a single 12%-share carrier can do it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2026-09-14T05:52:00Z</dcterms:created>
  <dcterms:modified xsi:type="dcterms:W3CDTF">2026-09-14T05:52:00Z</dcterms:modified>
</cp:coreProperties>
</file>